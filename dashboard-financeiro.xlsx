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180e520f9dd212/Desktop/Projetos/Excel/"/>
    </mc:Choice>
  </mc:AlternateContent>
  <xr:revisionPtr revIDLastSave="0" documentId="8_{B9452536-1CE9-4126-BFD0-18F25FD08585}" xr6:coauthVersionLast="47" xr6:coauthVersionMax="47" xr10:uidLastSave="{00000000-0000-0000-0000-000000000000}"/>
  <bookViews>
    <workbookView xWindow="-108" yWindow="-108" windowWidth="23256" windowHeight="12456" activeTab="3" xr2:uid="{0738FE35-055D-4FFE-9DC3-4B6B71DB1A77}"/>
  </bookViews>
  <sheets>
    <sheet name="Movimentações" sheetId="1" r:id="rId1"/>
    <sheet name="Listas Auxiliares" sheetId="2" r:id="rId2"/>
    <sheet name="Tabela Dinâmica" sheetId="4" r:id="rId3"/>
    <sheet name="Dashboard" sheetId="3" r:id="rId4"/>
  </sheets>
  <definedNames>
    <definedName name="SegmentaçãodeDados_Categoria">#N/A</definedName>
    <definedName name="SegmentaçãodeDados_Tipo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3" l="1"/>
  <c r="G2" i="3"/>
  <c r="E2" i="3"/>
  <c r="C2" i="3"/>
  <c r="A2" i="3"/>
</calcChain>
</file>

<file path=xl/sharedStrings.xml><?xml version="1.0" encoding="utf-8"?>
<sst xmlns="http://schemas.openxmlformats.org/spreadsheetml/2006/main" count="92" uniqueCount="39">
  <si>
    <t>Data</t>
  </si>
  <si>
    <t>Tipo</t>
  </si>
  <si>
    <t>Categoria</t>
  </si>
  <si>
    <t>Descrição</t>
  </si>
  <si>
    <t>Valor</t>
  </si>
  <si>
    <t>Receita</t>
  </si>
  <si>
    <t>Vendas</t>
  </si>
  <si>
    <t>Venda Produto A</t>
  </si>
  <si>
    <t>Serviços</t>
  </si>
  <si>
    <t>Manutenção</t>
  </si>
  <si>
    <t>Despesa</t>
  </si>
  <si>
    <t>Aluguel</t>
  </si>
  <si>
    <t>Escritório</t>
  </si>
  <si>
    <t>Internet</t>
  </si>
  <si>
    <t>Plano Empresa</t>
  </si>
  <si>
    <t>Consultoria</t>
  </si>
  <si>
    <t>Projeto X</t>
  </si>
  <si>
    <t>Marketing</t>
  </si>
  <si>
    <t>Anúncios</t>
  </si>
  <si>
    <t>Venda Produto B</t>
  </si>
  <si>
    <t>Transporte</t>
  </si>
  <si>
    <t>Entregas</t>
  </si>
  <si>
    <t>Instalação</t>
  </si>
  <si>
    <t>Salários</t>
  </si>
  <si>
    <t>Equipe</t>
  </si>
  <si>
    <t>Projeto Y</t>
  </si>
  <si>
    <t>Impostos</t>
  </si>
  <si>
    <t>DAS</t>
  </si>
  <si>
    <t>Venda Produto C</t>
  </si>
  <si>
    <t>Campanha</t>
  </si>
  <si>
    <t>Suporte</t>
  </si>
  <si>
    <t>Receita Total</t>
  </si>
  <si>
    <t>Despesas Totais</t>
  </si>
  <si>
    <t>Lucro Líquido</t>
  </si>
  <si>
    <t>Maior Receita</t>
  </si>
  <si>
    <t>Maior Despesa</t>
  </si>
  <si>
    <t>Rótulos de Linha</t>
  </si>
  <si>
    <t>Total Geral</t>
  </si>
  <si>
    <t>Soma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</si>
</sst>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0" fontId="0" fillId="0" borderId="1" xfId="0" applyBorder="1"/>
    <xf numFmtId="14" fontId="0" fillId="0" borderId="7" xfId="0" applyNumberFormat="1" applyBorder="1"/>
    <xf numFmtId="0" fontId="0" fillId="0" borderId="8" xfId="0" applyBorder="1"/>
    <xf numFmtId="44" fontId="0" fillId="0" borderId="6" xfId="1" applyFont="1" applyBorder="1"/>
    <xf numFmtId="44" fontId="0" fillId="0" borderId="9" xfId="1" applyFont="1" applyBorder="1"/>
    <xf numFmtId="0" fontId="2" fillId="2" borderId="1" xfId="0" applyFont="1" applyFill="1" applyBorder="1"/>
    <xf numFmtId="44" fontId="0" fillId="0" borderId="0" xfId="0" applyNumberFormat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44" fontId="3" fillId="2" borderId="12" xfId="0" applyNumberFormat="1" applyFont="1" applyFill="1" applyBorder="1" applyAlignment="1">
      <alignment horizontal="center" vertical="center"/>
    </xf>
    <xf numFmtId="44" fontId="3" fillId="2" borderId="13" xfId="0" applyNumberFormat="1" applyFont="1" applyFill="1" applyBorder="1" applyAlignment="1">
      <alignment horizontal="center" vertical="center"/>
    </xf>
    <xf numFmtId="44" fontId="3" fillId="2" borderId="14" xfId="0" applyNumberFormat="1" applyFont="1" applyFill="1" applyBorder="1" applyAlignment="1">
      <alignment horizontal="center" vertical="center"/>
    </xf>
    <xf numFmtId="44" fontId="3" fillId="2" borderId="15" xfId="0" applyNumberFormat="1" applyFont="1" applyFill="1" applyBorder="1" applyAlignment="1">
      <alignment horizontal="center" vertical="center"/>
    </xf>
    <xf numFmtId="44" fontId="3" fillId="2" borderId="12" xfId="1" applyFont="1" applyFill="1" applyBorder="1" applyAlignment="1">
      <alignment horizontal="center" vertical="center"/>
    </xf>
    <xf numFmtId="44" fontId="3" fillId="2" borderId="13" xfId="1" applyFont="1" applyFill="1" applyBorder="1" applyAlignment="1">
      <alignment horizontal="center" vertical="center"/>
    </xf>
    <xf numFmtId="44" fontId="3" fillId="2" borderId="14" xfId="1" applyFont="1" applyFill="1" applyBorder="1" applyAlignment="1">
      <alignment horizontal="center" vertical="center"/>
    </xf>
    <xf numFmtId="44" fontId="3" fillId="2" borderId="15" xfId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2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[dashboard-financeiro.xlsx]Tabela Dinâmica!Tabela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Dinâmica'!$A$4:$A$7</c:f>
              <c:strCache>
                <c:ptCount val="3"/>
                <c:pt idx="0">
                  <c:v>Consultoria</c:v>
                </c:pt>
                <c:pt idx="1">
                  <c:v>Serviços</c:v>
                </c:pt>
                <c:pt idx="2">
                  <c:v>Vendas</c:v>
                </c:pt>
              </c:strCache>
            </c:strRef>
          </c:cat>
          <c:val>
            <c:numRef>
              <c:f>'Tabela Dinâmica'!$B$4:$B$7</c:f>
              <c:numCache>
                <c:formatCode>_("R$"* #,##0.00_);_("R$"* \(#,##0.00\);_("R$"* "-"??_);_(@_)</c:formatCode>
                <c:ptCount val="3"/>
                <c:pt idx="0">
                  <c:v>5800</c:v>
                </c:pt>
                <c:pt idx="1">
                  <c:v>5000</c:v>
                </c:pt>
                <c:pt idx="2">
                  <c:v>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1-4AF6-953E-5864B3D1C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10687"/>
        <c:axId val="76811167"/>
      </c:barChart>
      <c:catAx>
        <c:axId val="7681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811167"/>
        <c:crosses val="autoZero"/>
        <c:auto val="1"/>
        <c:lblAlgn val="ctr"/>
        <c:lblOffset val="100"/>
        <c:noMultiLvlLbl val="0"/>
      </c:catAx>
      <c:valAx>
        <c:axId val="7681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81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[dashboard-financeiro.xlsx]Tabela Dinâmica!Tabela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Dinâmica'!$C$4:$C$10</c:f>
              <c:strCache>
                <c:ptCount val="6"/>
                <c:pt idx="0">
                  <c:v>Aluguel</c:v>
                </c:pt>
                <c:pt idx="1">
                  <c:v>Impostos</c:v>
                </c:pt>
                <c:pt idx="2">
                  <c:v>Internet</c:v>
                </c:pt>
                <c:pt idx="3">
                  <c:v>Marketing</c:v>
                </c:pt>
                <c:pt idx="4">
                  <c:v>Salários</c:v>
                </c:pt>
                <c:pt idx="5">
                  <c:v>Transporte</c:v>
                </c:pt>
              </c:strCache>
            </c:strRef>
          </c:cat>
          <c:val>
            <c:numRef>
              <c:f>'Tabela Dinâmica'!$D$4:$D$10</c:f>
              <c:numCache>
                <c:formatCode>_("R$"* #,##0.00_);_("R$"* \(#,##0.00\);_("R$"* "-"??_);_(@_)</c:formatCode>
                <c:ptCount val="6"/>
                <c:pt idx="0">
                  <c:v>1200</c:v>
                </c:pt>
                <c:pt idx="1">
                  <c:v>900</c:v>
                </c:pt>
                <c:pt idx="2">
                  <c:v>180</c:v>
                </c:pt>
                <c:pt idx="3">
                  <c:v>1050</c:v>
                </c:pt>
                <c:pt idx="4">
                  <c:v>3500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B-4C02-BD8B-110510A81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213855"/>
        <c:axId val="281212895"/>
      </c:barChart>
      <c:catAx>
        <c:axId val="28121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1212895"/>
        <c:crosses val="autoZero"/>
        <c:auto val="1"/>
        <c:lblAlgn val="ctr"/>
        <c:lblOffset val="100"/>
        <c:noMultiLvlLbl val="0"/>
      </c:catAx>
      <c:valAx>
        <c:axId val="28121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121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[dashboard-financeiro.xlsx]Tabela Dinâmica!Tabela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Entradas x Saídas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Dinâmica'!$F$1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Dinâmica'!$E$2:$E$4</c:f>
              <c:strCache>
                <c:ptCount val="2"/>
                <c:pt idx="0">
                  <c:v>Despesa</c:v>
                </c:pt>
                <c:pt idx="1">
                  <c:v>Receita</c:v>
                </c:pt>
              </c:strCache>
            </c:strRef>
          </c:cat>
          <c:val>
            <c:numRef>
              <c:f>'Tabela Dinâmica'!$F$2:$F$4</c:f>
              <c:numCache>
                <c:formatCode>_("R$"* #,##0.00_);_("R$"* \(#,##0.00\);_("R$"* "-"??_);_(@_)</c:formatCode>
                <c:ptCount val="2"/>
                <c:pt idx="0">
                  <c:v>7150</c:v>
                </c:pt>
                <c:pt idx="1">
                  <c:v>18600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7-4EC6-9817-A1DF6CBD3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7056527"/>
        <c:axId val="297063727"/>
      </c:barChart>
      <c:catAx>
        <c:axId val="297056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063727"/>
        <c:crosses val="autoZero"/>
        <c:auto val="1"/>
        <c:lblAlgn val="ctr"/>
        <c:lblOffset val="100"/>
        <c:noMultiLvlLbl val="0"/>
      </c:catAx>
      <c:valAx>
        <c:axId val="29706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05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</xdr:row>
      <xdr:rowOff>182880</xdr:rowOff>
    </xdr:from>
    <xdr:to>
      <xdr:col>5</xdr:col>
      <xdr:colOff>7620</xdr:colOff>
      <xdr:row>16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734711-CF8F-4E61-8CDA-178015B48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2</xdr:row>
      <xdr:rowOff>182880</xdr:rowOff>
    </xdr:from>
    <xdr:to>
      <xdr:col>10</xdr:col>
      <xdr:colOff>0</xdr:colOff>
      <xdr:row>17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9A177E-7AD5-4059-A064-92760C8B5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5</xdr:col>
      <xdr:colOff>0</xdr:colOff>
      <xdr:row>28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C3AC4E-6C5F-4CF0-A2A8-A1072A442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0</xdr:row>
      <xdr:rowOff>7620</xdr:rowOff>
    </xdr:from>
    <xdr:to>
      <xdr:col>13</xdr:col>
      <xdr:colOff>0</xdr:colOff>
      <xdr:row>13</xdr:row>
      <xdr:rowOff>158115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Tipo">
              <a:extLst>
                <a:ext uri="{FF2B5EF4-FFF2-40B4-BE49-F238E27FC236}">
                  <a16:creationId xmlns:a16="http://schemas.microsoft.com/office/drawing/2014/main" id="{5CB91261-9EBC-482A-8F39-CE97E2A55A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0" y="762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601980</xdr:colOff>
      <xdr:row>0</xdr:row>
      <xdr:rowOff>0</xdr:rowOff>
    </xdr:from>
    <xdr:to>
      <xdr:col>15</xdr:col>
      <xdr:colOff>601980</xdr:colOff>
      <xdr:row>13</xdr:row>
      <xdr:rowOff>150495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ia">
              <a:extLst>
                <a:ext uri="{FF2B5EF4-FFF2-40B4-BE49-F238E27FC236}">
                  <a16:creationId xmlns:a16="http://schemas.microsoft.com/office/drawing/2014/main" id="{0BD0B219-FEFA-4ED1-A4E9-65AA75CA46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26780" y="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5</xdr:col>
      <xdr:colOff>21853</xdr:colOff>
      <xdr:row>18</xdr:row>
      <xdr:rowOff>67161</xdr:rowOff>
    </xdr:from>
    <xdr:ext cx="9076427" cy="1632099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12B99156-5556-F6DD-D6E3-C56EB727A682}"/>
            </a:ext>
          </a:extLst>
        </xdr:cNvPr>
        <xdr:cNvSpPr txBox="1"/>
      </xdr:nvSpPr>
      <xdr:spPr>
        <a:xfrm>
          <a:off x="3374653" y="3412341"/>
          <a:ext cx="9076427" cy="1632099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pt-BR" sz="1200">
              <a:solidFill>
                <a:schemeClr val="bg1"/>
              </a:solidFill>
            </a:rPr>
            <a:t>A receita total da empresa foi de R$ 18.600,00, enquanto as despesas totalizaram R$ 7.150,00, resultando em um lucro líquido de R$ 11.450,00.</a:t>
          </a:r>
        </a:p>
        <a:p>
          <a:pPr algn="ctr"/>
          <a:endParaRPr lang="pt-BR" sz="1200">
            <a:solidFill>
              <a:schemeClr val="bg1"/>
            </a:solidFill>
          </a:endParaRPr>
        </a:p>
        <a:p>
          <a:pPr algn="ctr"/>
          <a:r>
            <a:rPr lang="pt-BR" sz="1200">
              <a:solidFill>
                <a:schemeClr val="bg1"/>
              </a:solidFill>
            </a:rPr>
            <a:t>A categoria Vendas apresentou o maior faturamento, com R$ 7.800,00, seguida por Consultoria e Serviços.</a:t>
          </a:r>
        </a:p>
        <a:p>
          <a:pPr algn="ctr"/>
          <a:endParaRPr lang="pt-BR" sz="1200">
            <a:solidFill>
              <a:schemeClr val="bg1"/>
            </a:solidFill>
          </a:endParaRPr>
        </a:p>
        <a:p>
          <a:pPr algn="ctr"/>
          <a:r>
            <a:rPr lang="pt-BR" sz="1200">
              <a:solidFill>
                <a:schemeClr val="bg1"/>
              </a:solidFill>
            </a:rPr>
            <a:t>Entre as despesas, Salários representou o maior gasto, totalizando R$ 3.500,00.</a:t>
          </a:r>
        </a:p>
        <a:p>
          <a:pPr algn="ctr"/>
          <a:endParaRPr lang="pt-BR" sz="1200">
            <a:solidFill>
              <a:schemeClr val="bg1"/>
            </a:solidFill>
          </a:endParaRPr>
        </a:p>
        <a:p>
          <a:pPr algn="ctr"/>
          <a:r>
            <a:rPr lang="pt-BR" sz="1200">
              <a:solidFill>
                <a:schemeClr val="bg1"/>
              </a:solidFill>
            </a:rPr>
            <a:t>O dashboard permite acompanhar rapidamente receitas, despesas e lucratividade através de filtros interativos.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BARBOSA" refreshedDate="46167.862542939816" createdVersion="8" refreshedVersion="8" minRefreshableVersion="3" recordCount="15" xr:uid="{45B0185C-665A-41E7-97EA-1ACBC32FA273}">
  <cacheSource type="worksheet">
    <worksheetSource name="Tabela1"/>
  </cacheSource>
  <cacheFields count="5">
    <cacheField name="Data" numFmtId="14">
      <sharedItems containsSemiMixedTypes="0" containsNonDate="0" containsDate="1" containsString="0" minDate="2026-06-01T00:00:00" maxDate="2026-06-16T00:00:00"/>
    </cacheField>
    <cacheField name="Tipo" numFmtId="0">
      <sharedItems count="2">
        <s v="Receita"/>
        <s v="Despesa"/>
      </sharedItems>
    </cacheField>
    <cacheField name="Categoria" numFmtId="0">
      <sharedItems count="9">
        <s v="Vendas"/>
        <s v="Serviços"/>
        <s v="Aluguel"/>
        <s v="Internet"/>
        <s v="Consultoria"/>
        <s v="Marketing"/>
        <s v="Transporte"/>
        <s v="Salários"/>
        <s v="Impostos"/>
      </sharedItems>
    </cacheField>
    <cacheField name="Descrição" numFmtId="0">
      <sharedItems/>
    </cacheField>
    <cacheField name="Valor" numFmtId="44">
      <sharedItems containsSemiMixedTypes="0" containsString="0" containsNumber="1" containsInteger="1" minValue="180" maxValue="3500"/>
    </cacheField>
  </cacheFields>
  <extLst>
    <ext xmlns:x14="http://schemas.microsoft.com/office/spreadsheetml/2009/9/main" uri="{725AE2AE-9491-48be-B2B4-4EB974FC3084}">
      <x14:pivotCacheDefinition pivotCacheId="1429035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6-06-01T00:00:00"/>
    <x v="0"/>
    <x v="0"/>
    <s v="Venda Produto A"/>
    <n v="2500"/>
  </r>
  <r>
    <d v="2026-06-02T00:00:00"/>
    <x v="0"/>
    <x v="1"/>
    <s v="Manutenção"/>
    <n v="1800"/>
  </r>
  <r>
    <d v="2026-06-03T00:00:00"/>
    <x v="1"/>
    <x v="2"/>
    <s v="Escritório"/>
    <n v="1200"/>
  </r>
  <r>
    <d v="2026-06-04T00:00:00"/>
    <x v="1"/>
    <x v="3"/>
    <s v="Plano Empresa"/>
    <n v="180"/>
  </r>
  <r>
    <d v="2026-06-05T00:00:00"/>
    <x v="0"/>
    <x v="4"/>
    <s v="Projeto X"/>
    <n v="3000"/>
  </r>
  <r>
    <d v="2026-06-06T00:00:00"/>
    <x v="1"/>
    <x v="5"/>
    <s v="Anúncios"/>
    <n v="450"/>
  </r>
  <r>
    <d v="2026-06-07T00:00:00"/>
    <x v="0"/>
    <x v="0"/>
    <s v="Venda Produto B"/>
    <n v="2200"/>
  </r>
  <r>
    <d v="2026-06-08T00:00:00"/>
    <x v="1"/>
    <x v="6"/>
    <s v="Entregas"/>
    <n v="320"/>
  </r>
  <r>
    <d v="2026-06-09T00:00:00"/>
    <x v="0"/>
    <x v="1"/>
    <s v="Instalação"/>
    <n v="1500"/>
  </r>
  <r>
    <d v="2026-06-10T00:00:00"/>
    <x v="1"/>
    <x v="7"/>
    <s v="Equipe"/>
    <n v="3500"/>
  </r>
  <r>
    <d v="2026-06-11T00:00:00"/>
    <x v="0"/>
    <x v="4"/>
    <s v="Projeto Y"/>
    <n v="2800"/>
  </r>
  <r>
    <d v="2026-06-12T00:00:00"/>
    <x v="1"/>
    <x v="8"/>
    <s v="DAS"/>
    <n v="900"/>
  </r>
  <r>
    <d v="2026-06-13T00:00:00"/>
    <x v="0"/>
    <x v="0"/>
    <s v="Venda Produto C"/>
    <n v="3100"/>
  </r>
  <r>
    <d v="2026-06-14T00:00:00"/>
    <x v="1"/>
    <x v="5"/>
    <s v="Campanha"/>
    <n v="600"/>
  </r>
  <r>
    <d v="2026-06-15T00:00:00"/>
    <x v="0"/>
    <x v="1"/>
    <s v="Suporte"/>
    <n v="1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7B134-C6B7-479B-BD1B-53D334F7279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1:F4" firstHeaderRow="1" firstDataRow="1" firstDataCol="1"/>
  <pivotFields count="5">
    <pivotField numFmtId="14" showAll="0"/>
    <pivotField axis="axisRow" showAll="0">
      <items count="3">
        <item x="1"/>
        <item x="0"/>
        <item t="default"/>
      </items>
    </pivotField>
    <pivotField showAll="0"/>
    <pivotField showAll="0"/>
    <pivotField dataField="1" numFmtId="44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Valor" fld="4" baseField="0" baseItem="0" numFmtId="44"/>
  </dataFields>
  <formats count="1">
    <format dxfId="0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9C7F6-E480-4FCE-872A-E0BAA471C2D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3:D10" firstHeaderRow="1" firstDataRow="1" firstDataCol="1" rowPageCount="1" colPageCount="1"/>
  <pivotFields count="5">
    <pivotField numFmtId="14" showAll="0"/>
    <pivotField axis="axisPage" showAll="0">
      <items count="3">
        <item x="1"/>
        <item x="0"/>
        <item t="default"/>
      </items>
    </pivotField>
    <pivotField axis="axisRow" showAll="0">
      <items count="10">
        <item x="2"/>
        <item x="4"/>
        <item x="8"/>
        <item x="3"/>
        <item x="5"/>
        <item x="7"/>
        <item x="1"/>
        <item x="6"/>
        <item x="0"/>
        <item t="default"/>
      </items>
    </pivotField>
    <pivotField showAll="0"/>
    <pivotField dataField="1" numFmtId="44" showAll="0"/>
  </pivotFields>
  <rowFields count="1">
    <field x="2"/>
  </rowFields>
  <rowItems count="7">
    <i>
      <x/>
    </i>
    <i>
      <x v="2"/>
    </i>
    <i>
      <x v="3"/>
    </i>
    <i>
      <x v="4"/>
    </i>
    <i>
      <x v="5"/>
    </i>
    <i>
      <x v="7"/>
    </i>
    <i t="grand">
      <x/>
    </i>
  </rowItems>
  <colItems count="1">
    <i/>
  </colItems>
  <pageFields count="1">
    <pageField fld="1" item="0" hier="-1"/>
  </pageFields>
  <dataFields count="1">
    <dataField name="Soma de Valor" fld="4" baseField="0" baseItem="0" numFmtId="44"/>
  </dataFields>
  <formats count="1">
    <format dxfId="1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5A6CB-F9E4-4386-8398-85BA71B9739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7" firstHeaderRow="1" firstDataRow="1" firstDataCol="1" rowPageCount="1" colPageCount="1"/>
  <pivotFields count="5">
    <pivotField numFmtId="14" showAll="0"/>
    <pivotField axis="axisPage" showAll="0">
      <items count="3">
        <item x="1"/>
        <item x="0"/>
        <item t="default"/>
      </items>
    </pivotField>
    <pivotField axis="axisRow" showAll="0">
      <items count="10">
        <item x="2"/>
        <item x="4"/>
        <item x="8"/>
        <item x="3"/>
        <item x="5"/>
        <item x="7"/>
        <item x="1"/>
        <item x="6"/>
        <item x="0"/>
        <item t="default"/>
      </items>
    </pivotField>
    <pivotField showAll="0"/>
    <pivotField dataField="1" numFmtId="44" showAll="0"/>
  </pivotFields>
  <rowFields count="1">
    <field x="2"/>
  </rowFields>
  <rowItems count="4">
    <i>
      <x v="1"/>
    </i>
    <i>
      <x v="6"/>
    </i>
    <i>
      <x v="8"/>
    </i>
    <i t="grand">
      <x/>
    </i>
  </rowItems>
  <colItems count="1">
    <i/>
  </colItems>
  <pageFields count="1">
    <pageField fld="1" item="1" hier="-1"/>
  </pageFields>
  <dataFields count="1">
    <dataField name="Soma de Valor" fld="4" baseField="0" baseItem="0" numFmtId="44"/>
  </dataFields>
  <formats count="1">
    <format dxfId="2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6BC39204-8F4E-420F-8C5F-2E360DCBFB27}" sourceName="Tipo">
  <pivotTables>
    <pivotTable tabId="4" name="Tabela dinâmica1"/>
  </pivotTables>
  <data>
    <tabular pivotCacheId="142903502">
      <items count="2">
        <i x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D68A07D2-C715-4366-AC62-11035DE28215}" sourceName="Categoria">
  <pivotTables>
    <pivotTable tabId="4" name="Tabela dinâmica1"/>
  </pivotTables>
  <data>
    <tabular pivotCacheId="142903502">
      <items count="9">
        <i x="4" s="1"/>
        <i x="1" s="1"/>
        <i x="0" s="1"/>
        <i x="2" s="1" nd="1"/>
        <i x="8" s="1" nd="1"/>
        <i x="3" s="1" nd="1"/>
        <i x="5" s="1" nd="1"/>
        <i x="7" s="1" nd="1"/>
        <i x="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" xr10:uid="{FE0A3646-D982-4A6D-9EE1-4B83773256A1}" cache="SegmentaçãodeDados_Tipo" caption="Tipo" rowHeight="247650"/>
  <slicer name="Categoria" xr10:uid="{13408ADA-0C20-480C-888C-DD8F3F0538D5}" cache="SegmentaçãodeDados_Categoria" caption="Categoria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5D408-2F37-48E0-9915-97059DED3971}" name="Tabela1" displayName="Tabela1" ref="A1:E16" totalsRowShown="0" headerRowDxfId="11" headerRowBorderDxfId="10" tableBorderDxfId="9" totalsRowBorderDxfId="8">
  <autoFilter ref="A1:E16" xr:uid="{C385D408-2F37-48E0-9915-97059DED3971}"/>
  <tableColumns count="5">
    <tableColumn id="1" xr3:uid="{F7304DD6-772B-4588-ABC6-D099E7ADA95B}" name="Data" dataDxfId="7"/>
    <tableColumn id="2" xr3:uid="{76E4C648-F540-453C-BD9A-A375AC3BEAA6}" name="Tipo" dataDxfId="6"/>
    <tableColumn id="3" xr3:uid="{9330237C-FE7E-4BFF-B634-CE1FF85FE457}" name="Categoria" dataDxfId="5"/>
    <tableColumn id="4" xr3:uid="{6C4E1298-E7D1-4537-8F39-80A6597835B3}" name="Descrição" dataDxfId="4"/>
    <tableColumn id="5" xr3:uid="{0C02D2BE-18ED-4785-A0C5-B8F4444CDC26}" name="Valor" dataDxfId="3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458F-5D07-481A-ABF9-4A3FE4C97182}">
  <dimension ref="A1:E16"/>
  <sheetViews>
    <sheetView topLeftCell="A2" zoomScale="168" zoomScaleNormal="120" workbookViewId="0">
      <selection sqref="A1:E16"/>
    </sheetView>
  </sheetViews>
  <sheetFormatPr defaultRowHeight="14.4" x14ac:dyDescent="0.3"/>
  <cols>
    <col min="1" max="1" width="10.5546875" bestFit="1" customWidth="1"/>
    <col min="2" max="2" width="8" bestFit="1" customWidth="1"/>
    <col min="3" max="3" width="11.21875" bestFit="1" customWidth="1"/>
    <col min="4" max="4" width="14.6640625" bestFit="1" customWidth="1"/>
    <col min="5" max="5" width="12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46174</v>
      </c>
      <c r="B2" s="5" t="s">
        <v>5</v>
      </c>
      <c r="C2" s="5" t="s">
        <v>6</v>
      </c>
      <c r="D2" s="5" t="s">
        <v>7</v>
      </c>
      <c r="E2" s="8">
        <v>2500</v>
      </c>
    </row>
    <row r="3" spans="1:5" x14ac:dyDescent="0.3">
      <c r="A3" s="4">
        <v>46175</v>
      </c>
      <c r="B3" s="5" t="s">
        <v>5</v>
      </c>
      <c r="C3" s="5" t="s">
        <v>8</v>
      </c>
      <c r="D3" s="5" t="s">
        <v>9</v>
      </c>
      <c r="E3" s="8">
        <v>1800</v>
      </c>
    </row>
    <row r="4" spans="1:5" x14ac:dyDescent="0.3">
      <c r="A4" s="4">
        <v>46176</v>
      </c>
      <c r="B4" s="5" t="s">
        <v>10</v>
      </c>
      <c r="C4" s="5" t="s">
        <v>11</v>
      </c>
      <c r="D4" s="5" t="s">
        <v>12</v>
      </c>
      <c r="E4" s="8">
        <v>1200</v>
      </c>
    </row>
    <row r="5" spans="1:5" x14ac:dyDescent="0.3">
      <c r="A5" s="4">
        <v>46177</v>
      </c>
      <c r="B5" s="5" t="s">
        <v>10</v>
      </c>
      <c r="C5" s="5" t="s">
        <v>13</v>
      </c>
      <c r="D5" s="5" t="s">
        <v>14</v>
      </c>
      <c r="E5" s="8">
        <v>180</v>
      </c>
    </row>
    <row r="6" spans="1:5" x14ac:dyDescent="0.3">
      <c r="A6" s="4">
        <v>46178</v>
      </c>
      <c r="B6" s="5" t="s">
        <v>5</v>
      </c>
      <c r="C6" s="5" t="s">
        <v>15</v>
      </c>
      <c r="D6" s="5" t="s">
        <v>16</v>
      </c>
      <c r="E6" s="8">
        <v>3000</v>
      </c>
    </row>
    <row r="7" spans="1:5" x14ac:dyDescent="0.3">
      <c r="A7" s="4">
        <v>46179</v>
      </c>
      <c r="B7" s="5" t="s">
        <v>10</v>
      </c>
      <c r="C7" s="5" t="s">
        <v>17</v>
      </c>
      <c r="D7" s="5" t="s">
        <v>18</v>
      </c>
      <c r="E7" s="8">
        <v>450</v>
      </c>
    </row>
    <row r="8" spans="1:5" x14ac:dyDescent="0.3">
      <c r="A8" s="4">
        <v>46180</v>
      </c>
      <c r="B8" s="5" t="s">
        <v>5</v>
      </c>
      <c r="C8" s="5" t="s">
        <v>6</v>
      </c>
      <c r="D8" s="5" t="s">
        <v>19</v>
      </c>
      <c r="E8" s="8">
        <v>2200</v>
      </c>
    </row>
    <row r="9" spans="1:5" x14ac:dyDescent="0.3">
      <c r="A9" s="4">
        <v>46181</v>
      </c>
      <c r="B9" s="5" t="s">
        <v>10</v>
      </c>
      <c r="C9" s="5" t="s">
        <v>20</v>
      </c>
      <c r="D9" s="5" t="s">
        <v>21</v>
      </c>
      <c r="E9" s="8">
        <v>320</v>
      </c>
    </row>
    <row r="10" spans="1:5" x14ac:dyDescent="0.3">
      <c r="A10" s="4">
        <v>46182</v>
      </c>
      <c r="B10" s="5" t="s">
        <v>5</v>
      </c>
      <c r="C10" s="5" t="s">
        <v>8</v>
      </c>
      <c r="D10" s="5" t="s">
        <v>22</v>
      </c>
      <c r="E10" s="8">
        <v>1500</v>
      </c>
    </row>
    <row r="11" spans="1:5" x14ac:dyDescent="0.3">
      <c r="A11" s="4">
        <v>46183</v>
      </c>
      <c r="B11" s="5" t="s">
        <v>10</v>
      </c>
      <c r="C11" s="5" t="s">
        <v>23</v>
      </c>
      <c r="D11" s="5" t="s">
        <v>24</v>
      </c>
      <c r="E11" s="8">
        <v>3500</v>
      </c>
    </row>
    <row r="12" spans="1:5" x14ac:dyDescent="0.3">
      <c r="A12" s="4">
        <v>46184</v>
      </c>
      <c r="B12" s="5" t="s">
        <v>5</v>
      </c>
      <c r="C12" s="5" t="s">
        <v>15</v>
      </c>
      <c r="D12" s="5" t="s">
        <v>25</v>
      </c>
      <c r="E12" s="8">
        <v>2800</v>
      </c>
    </row>
    <row r="13" spans="1:5" x14ac:dyDescent="0.3">
      <c r="A13" s="4">
        <v>46185</v>
      </c>
      <c r="B13" s="5" t="s">
        <v>10</v>
      </c>
      <c r="C13" s="5" t="s">
        <v>26</v>
      </c>
      <c r="D13" s="5" t="s">
        <v>27</v>
      </c>
      <c r="E13" s="8">
        <v>900</v>
      </c>
    </row>
    <row r="14" spans="1:5" x14ac:dyDescent="0.3">
      <c r="A14" s="4">
        <v>46186</v>
      </c>
      <c r="B14" s="5" t="s">
        <v>5</v>
      </c>
      <c r="C14" s="5" t="s">
        <v>6</v>
      </c>
      <c r="D14" s="5" t="s">
        <v>28</v>
      </c>
      <c r="E14" s="8">
        <v>3100</v>
      </c>
    </row>
    <row r="15" spans="1:5" x14ac:dyDescent="0.3">
      <c r="A15" s="4">
        <v>46187</v>
      </c>
      <c r="B15" s="5" t="s">
        <v>10</v>
      </c>
      <c r="C15" s="5" t="s">
        <v>17</v>
      </c>
      <c r="D15" s="5" t="s">
        <v>29</v>
      </c>
      <c r="E15" s="8">
        <v>600</v>
      </c>
    </row>
    <row r="16" spans="1:5" x14ac:dyDescent="0.3">
      <c r="A16" s="6">
        <v>46188</v>
      </c>
      <c r="B16" s="7" t="s">
        <v>5</v>
      </c>
      <c r="C16" s="7" t="s">
        <v>8</v>
      </c>
      <c r="D16" s="7" t="s">
        <v>30</v>
      </c>
      <c r="E16" s="9">
        <v>1700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0DB54A-16DC-481E-8E14-0F892867B074}">
          <x14:formula1>
            <xm:f>'Listas Auxiliares'!$A$2:$A$3</xm:f>
          </x14:formula1>
          <xm:sqref>B2:B16</xm:sqref>
        </x14:dataValidation>
        <x14:dataValidation type="list" allowBlank="1" showInputMessage="1" showErrorMessage="1" xr:uid="{7424E149-399C-41D7-8FC7-84F457C99577}">
          <x14:formula1>
            <xm:f>'Listas Auxiliares'!$B$2:$B$10</xm:f>
          </x14:formula1>
          <xm:sqref>C2:C16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86E5-9A27-4439-8F80-7F12900B366B}">
  <dimension ref="A1:B10"/>
  <sheetViews>
    <sheetView workbookViewId="0">
      <selection activeCell="E5" sqref="E5"/>
    </sheetView>
  </sheetViews>
  <sheetFormatPr defaultRowHeight="14.4" x14ac:dyDescent="0.3"/>
  <cols>
    <col min="1" max="1" width="8.33203125" customWidth="1"/>
    <col min="2" max="2" width="11.33203125" bestFit="1" customWidth="1"/>
  </cols>
  <sheetData>
    <row r="1" spans="1:2" ht="18" x14ac:dyDescent="0.35">
      <c r="A1" s="10" t="s">
        <v>1</v>
      </c>
      <c r="B1" s="10" t="s">
        <v>2</v>
      </c>
    </row>
    <row r="2" spans="1:2" x14ac:dyDescent="0.3">
      <c r="A2" s="5" t="s">
        <v>5</v>
      </c>
      <c r="B2" s="5" t="s">
        <v>6</v>
      </c>
    </row>
    <row r="3" spans="1:2" x14ac:dyDescent="0.3">
      <c r="A3" s="5" t="s">
        <v>10</v>
      </c>
      <c r="B3" s="5" t="s">
        <v>8</v>
      </c>
    </row>
    <row r="4" spans="1:2" x14ac:dyDescent="0.3">
      <c r="A4" s="5"/>
      <c r="B4" s="5" t="s">
        <v>15</v>
      </c>
    </row>
    <row r="5" spans="1:2" x14ac:dyDescent="0.3">
      <c r="A5" s="5"/>
      <c r="B5" s="5" t="s">
        <v>11</v>
      </c>
    </row>
    <row r="6" spans="1:2" x14ac:dyDescent="0.3">
      <c r="A6" s="5"/>
      <c r="B6" s="5" t="s">
        <v>13</v>
      </c>
    </row>
    <row r="7" spans="1:2" x14ac:dyDescent="0.3">
      <c r="A7" s="5"/>
      <c r="B7" s="5" t="s">
        <v>17</v>
      </c>
    </row>
    <row r="8" spans="1:2" x14ac:dyDescent="0.3">
      <c r="A8" s="5"/>
      <c r="B8" s="5" t="s">
        <v>23</v>
      </c>
    </row>
    <row r="9" spans="1:2" x14ac:dyDescent="0.3">
      <c r="A9" s="5"/>
      <c r="B9" s="5" t="s">
        <v>20</v>
      </c>
    </row>
    <row r="10" spans="1:2" x14ac:dyDescent="0.3">
      <c r="A10" s="5"/>
      <c r="B10" s="5" t="s">
        <v>26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D07CED-935D-4234-BB35-1BA8359609F1}">
          <x14:formula1>
            <xm:f>Movimentações!$B$2:$B$16</xm:f>
          </x14:formula1>
          <xm:sqref>E5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8030-5E8F-49C5-BD5A-FBB82A57CAB8}">
  <dimension ref="A1:F10"/>
  <sheetViews>
    <sheetView topLeftCell="A3" workbookViewId="0">
      <selection activeCell="K4" sqref="K4"/>
    </sheetView>
  </sheetViews>
  <sheetFormatPr defaultRowHeight="14.4" x14ac:dyDescent="0.3"/>
  <cols>
    <col min="1" max="1" width="16.77734375" bestFit="1" customWidth="1"/>
    <col min="2" max="2" width="12.88671875" bestFit="1" customWidth="1"/>
    <col min="3" max="3" width="16.77734375" bestFit="1" customWidth="1"/>
    <col min="4" max="4" width="12.88671875" bestFit="1" customWidth="1"/>
    <col min="5" max="5" width="16.77734375" bestFit="1" customWidth="1"/>
    <col min="6" max="6" width="12.88671875" bestFit="1" customWidth="1"/>
  </cols>
  <sheetData>
    <row r="1" spans="1:6" x14ac:dyDescent="0.3">
      <c r="A1" s="13" t="s">
        <v>1</v>
      </c>
      <c r="B1" t="s">
        <v>5</v>
      </c>
      <c r="C1" s="13" t="s">
        <v>1</v>
      </c>
      <c r="D1" t="s">
        <v>10</v>
      </c>
      <c r="E1" s="13" t="s">
        <v>36</v>
      </c>
      <c r="F1" t="s">
        <v>38</v>
      </c>
    </row>
    <row r="2" spans="1:6" x14ac:dyDescent="0.3">
      <c r="E2" s="14" t="s">
        <v>10</v>
      </c>
      <c r="F2" s="11">
        <v>7150</v>
      </c>
    </row>
    <row r="3" spans="1:6" x14ac:dyDescent="0.3">
      <c r="A3" s="13" t="s">
        <v>36</v>
      </c>
      <c r="B3" t="s">
        <v>38</v>
      </c>
      <c r="C3" s="13" t="s">
        <v>36</v>
      </c>
      <c r="D3" t="s">
        <v>38</v>
      </c>
      <c r="E3" s="14" t="s">
        <v>5</v>
      </c>
      <c r="F3" s="11">
        <v>18600</v>
      </c>
    </row>
    <row r="4" spans="1:6" x14ac:dyDescent="0.3">
      <c r="A4" s="14" t="s">
        <v>15</v>
      </c>
      <c r="B4" s="11">
        <v>5800</v>
      </c>
      <c r="C4" s="14" t="s">
        <v>11</v>
      </c>
      <c r="D4" s="11">
        <v>1200</v>
      </c>
      <c r="E4" s="14" t="s">
        <v>37</v>
      </c>
      <c r="F4" s="11">
        <v>25750</v>
      </c>
    </row>
    <row r="5" spans="1:6" x14ac:dyDescent="0.3">
      <c r="A5" s="14" t="s">
        <v>8</v>
      </c>
      <c r="B5" s="11">
        <v>5000</v>
      </c>
      <c r="C5" s="14" t="s">
        <v>26</v>
      </c>
      <c r="D5" s="11">
        <v>900</v>
      </c>
    </row>
    <row r="6" spans="1:6" x14ac:dyDescent="0.3">
      <c r="A6" s="14" t="s">
        <v>6</v>
      </c>
      <c r="B6" s="11">
        <v>7800</v>
      </c>
      <c r="C6" s="14" t="s">
        <v>13</v>
      </c>
      <c r="D6" s="11">
        <v>180</v>
      </c>
    </row>
    <row r="7" spans="1:6" x14ac:dyDescent="0.3">
      <c r="A7" s="14" t="s">
        <v>37</v>
      </c>
      <c r="B7" s="11">
        <v>18600</v>
      </c>
      <c r="C7" s="14" t="s">
        <v>17</v>
      </c>
      <c r="D7" s="11">
        <v>1050</v>
      </c>
    </row>
    <row r="8" spans="1:6" x14ac:dyDescent="0.3">
      <c r="C8" s="14" t="s">
        <v>23</v>
      </c>
      <c r="D8" s="11">
        <v>3500</v>
      </c>
    </row>
    <row r="9" spans="1:6" x14ac:dyDescent="0.3">
      <c r="C9" s="14" t="s">
        <v>20</v>
      </c>
      <c r="D9" s="11">
        <v>320</v>
      </c>
    </row>
    <row r="10" spans="1:6" x14ac:dyDescent="0.3">
      <c r="C10" s="14" t="s">
        <v>37</v>
      </c>
      <c r="D10" s="11">
        <v>7150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4762-61E9-4EE6-A021-C70972CA57A0}">
  <dimension ref="A1:J3"/>
  <sheetViews>
    <sheetView showGridLines="0" showRowColHeaders="0" tabSelected="1" zoomScaleNormal="100" workbookViewId="0">
      <selection activeCell="W8" sqref="W8"/>
    </sheetView>
  </sheetViews>
  <sheetFormatPr defaultRowHeight="14.4" x14ac:dyDescent="0.3"/>
  <cols>
    <col min="1" max="10" width="9.77734375" style="12" customWidth="1"/>
    <col min="11" max="16384" width="8.88671875" style="12"/>
  </cols>
  <sheetData>
    <row r="1" spans="1:10" ht="18" x14ac:dyDescent="0.3">
      <c r="A1" s="15" t="s">
        <v>31</v>
      </c>
      <c r="B1" s="16"/>
      <c r="C1" s="15" t="s">
        <v>32</v>
      </c>
      <c r="D1" s="16"/>
      <c r="E1" s="15" t="s">
        <v>33</v>
      </c>
      <c r="F1" s="16"/>
      <c r="G1" s="15" t="s">
        <v>34</v>
      </c>
      <c r="H1" s="16"/>
      <c r="I1" s="15" t="s">
        <v>35</v>
      </c>
      <c r="J1" s="16"/>
    </row>
    <row r="2" spans="1:10" x14ac:dyDescent="0.3">
      <c r="A2" s="17">
        <f>SUMIF(Movimentações!B:B,"Receita",Movimentações!E:E)</f>
        <v>18600</v>
      </c>
      <c r="B2" s="18"/>
      <c r="C2" s="21">
        <f>SUMIF(Movimentações!B:B,"Despesa",Movimentações!E:E)</f>
        <v>7150</v>
      </c>
      <c r="D2" s="22"/>
      <c r="E2" s="17">
        <f>A2-C2</f>
        <v>11450</v>
      </c>
      <c r="F2" s="18"/>
      <c r="G2" s="21">
        <f>_xlfn.MAXIFS(Movimentações!E:E,Movimentações!B:B,"Receita")</f>
        <v>3100</v>
      </c>
      <c r="H2" s="22"/>
      <c r="I2" s="21">
        <f>_xlfn.MAXIFS(Movimentações!E:E,Movimentações!B:B,"Despesa")</f>
        <v>3500</v>
      </c>
      <c r="J2" s="22"/>
    </row>
    <row r="3" spans="1:10" ht="15" thickBot="1" x14ac:dyDescent="0.35">
      <c r="A3" s="19"/>
      <c r="B3" s="20"/>
      <c r="C3" s="23"/>
      <c r="D3" s="24"/>
      <c r="E3" s="19"/>
      <c r="F3" s="20"/>
      <c r="G3" s="23"/>
      <c r="H3" s="24"/>
      <c r="I3" s="23"/>
      <c r="J3" s="24"/>
    </row>
  </sheetData>
  <mergeCells count="10">
    <mergeCell ref="A2:B3"/>
    <mergeCell ref="C2:D3"/>
    <mergeCell ref="E2:F3"/>
    <mergeCell ref="G2:H3"/>
    <mergeCell ref="I2:J3"/>
    <mergeCell ref="A1:B1"/>
    <mergeCell ref="C1:D1"/>
    <mergeCell ref="E1:F1"/>
    <mergeCell ref="G1:H1"/>
    <mergeCell ref="I1:J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Movimentações</vt:lpstr>
      <vt:lpstr>Listas Auxiliares</vt:lpstr>
      <vt:lpstr>Tabela Dinâmica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BARBOSA</dc:creator>
  <cp:lastModifiedBy>ANDERSON BARBOSA</cp:lastModifiedBy>
  <dcterms:created xsi:type="dcterms:W3CDTF">2026-05-25T23:14:53Z</dcterms:created>
  <dcterms:modified xsi:type="dcterms:W3CDTF">2026-05-31T16:01:08Z</dcterms:modified>
</cp:coreProperties>
</file>